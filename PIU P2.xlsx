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co\Desktop\"/>
    </mc:Choice>
  </mc:AlternateContent>
  <xr:revisionPtr revIDLastSave="0" documentId="8_{EFCFE7CA-2C1F-4833-97CB-145570FBD6FB}" xr6:coauthVersionLast="47" xr6:coauthVersionMax="47" xr10:uidLastSave="{00000000-0000-0000-0000-000000000000}"/>
  <bookViews>
    <workbookView xWindow="-120" yWindow="-120" windowWidth="38640" windowHeight="21840" xr2:uid="{368B57DA-2303-47C5-8B11-FBB1E70C87FE}"/>
  </bookViews>
  <sheets>
    <sheet name="Calculator" sheetId="1" r:id="rId1"/>
    <sheet name="Table" sheetId="2" r:id="rId2"/>
    <sheet name="Score" sheetId="3" r:id="rId3"/>
  </sheets>
  <definedNames>
    <definedName name="Ref_Grade">Table!$E$2:$G$18</definedName>
    <definedName name="Ref_Level">Table!$A$2:$C$23</definedName>
    <definedName name="Ref_Plate">Table!$I$2:$K$10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1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<sst xmlns="http://schemas.openxmlformats.org/spreadsheetml/2006/main" count="79" uniqueCount="54">
  <si>
    <t>Single</t>
  </si>
  <si>
    <t>Double</t>
  </si>
  <si>
    <t>Co-Op</t>
  </si>
  <si>
    <t>Grade Value</t>
  </si>
  <si>
    <t>F</t>
  </si>
  <si>
    <t>D</t>
  </si>
  <si>
    <t>C</t>
  </si>
  <si>
    <t>B</t>
  </si>
  <si>
    <t>A</t>
  </si>
  <si>
    <t>A+</t>
  </si>
  <si>
    <t>AA</t>
  </si>
  <si>
    <t>AA+</t>
  </si>
  <si>
    <t>AAA</t>
  </si>
  <si>
    <t>AAA+</t>
  </si>
  <si>
    <t>S</t>
  </si>
  <si>
    <t>S+</t>
  </si>
  <si>
    <t>SS</t>
  </si>
  <si>
    <t>SS+</t>
  </si>
  <si>
    <t>SSS</t>
  </si>
  <si>
    <t>SSS+</t>
  </si>
  <si>
    <t>Plate Value</t>
  </si>
  <si>
    <t>RG</t>
  </si>
  <si>
    <t>FG</t>
  </si>
  <si>
    <t>TG</t>
  </si>
  <si>
    <t>MG</t>
  </si>
  <si>
    <t>SG</t>
  </si>
  <si>
    <t>EG</t>
  </si>
  <si>
    <t>UG</t>
  </si>
  <si>
    <t>PG</t>
  </si>
  <si>
    <t>Mode</t>
  </si>
  <si>
    <t>Plate</t>
  </si>
  <si>
    <t>Score</t>
  </si>
  <si>
    <t>Level Value</t>
  </si>
  <si>
    <t>PIU PHOENIX 2 PUMBILITY CALCULATOR</t>
  </si>
  <si>
    <t>PUMBILITY SCORE</t>
  </si>
  <si>
    <t>940000 ~ 949999</t>
  </si>
  <si>
    <t>920000 ~ 939999</t>
  </si>
  <si>
    <t>900000 ~ 919999</t>
  </si>
  <si>
    <t>950000 ~ 959999</t>
  </si>
  <si>
    <t>960000 ~ 969999</t>
  </si>
  <si>
    <t>970000 ~ 974999</t>
  </si>
  <si>
    <t>975000 ~ 979999</t>
  </si>
  <si>
    <t>980000 ~ 984999</t>
  </si>
  <si>
    <t>985000 ~ 989999</t>
  </si>
  <si>
    <t>990000 ~ 994999</t>
  </si>
  <si>
    <t>995000 ~ 1000000</t>
  </si>
  <si>
    <t>0 ~ 499999</t>
  </si>
  <si>
    <t>500000 ~ 599999</t>
  </si>
  <si>
    <t>600000 ~ 699999</t>
  </si>
  <si>
    <t>700000 ~ 799999</t>
  </si>
  <si>
    <t>800000 ~ 899999</t>
  </si>
  <si>
    <t>Grade</t>
  </si>
  <si>
    <t>&lt;&lt;OR&gt;&gt;</t>
  </si>
  <si>
    <t>Chart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</si>
</sst>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_);_(* \(#,##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6" fillId="0" borderId="3" xfId="0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3" fillId="2" borderId="0" xfId="0" applyFont="1" applyFill="1"/>
    <xf numFmtId="0" fontId="3" fillId="3" borderId="0" xfId="0" applyFont="1" applyFill="1"/>
    <xf numFmtId="2" fontId="5" fillId="0" borderId="0" xfId="0" applyNumberFormat="1" applyFont="1"/>
    <xf numFmtId="166" fontId="0" fillId="0" borderId="0" xfId="1" applyNumberFormat="1" applyFont="1"/>
    <xf numFmtId="166" fontId="6" fillId="0" borderId="2" xfId="1" applyNumberFormat="1" applyFont="1" applyBorder="1"/>
    <xf numFmtId="0" fontId="3" fillId="0" borderId="0" xfId="0" applyFont="1" applyBorder="1"/>
    <xf numFmtId="0" fontId="4" fillId="4" borderId="0" xfId="0" applyFont="1" applyFill="1"/>
    <xf numFmtId="0" fontId="0" fillId="0" borderId="6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14</xdr:col>
      <xdr:colOff>371475</xdr:colOff>
      <xdr:row>7</xdr:row>
      <xdr:rowOff>207309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89EE439-DAEE-6A21-970C-FE878EADD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0"/>
          <a:ext cx="4029075" cy="20170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D43B1-F771-45B1-A5BB-E1427163CDE0}">
  <dimension ref="A1:G8"/>
  <sheetViews>
    <sheetView tabSelected="1" workbookViewId="0">
      <selection activeCell="N27" sqref="N27"/>
    </sheetView>
  </sheetViews>
  <sheetFormatPr defaultRowHeight="15" x14ac:dyDescent="0.25"/>
  <cols>
    <col min="1" max="1" width="29.42578125" customWidth="1"/>
    <col min="2" max="2" width="16.5703125" customWidth="1"/>
    <col min="4" max="4" width="11.5703125" bestFit="1" customWidth="1"/>
    <col min="5" max="5" width="20.42578125" bestFit="1" customWidth="1"/>
  </cols>
  <sheetData>
    <row r="1" spans="1:7" s="5" customFormat="1" ht="24.75" thickBot="1" x14ac:dyDescent="0.45">
      <c r="A1" s="4" t="s">
        <v>33</v>
      </c>
      <c r="B1" s="4"/>
      <c r="C1" s="4"/>
      <c r="D1" s="4"/>
      <c r="E1" s="4"/>
      <c r="F1" s="4"/>
      <c r="G1" s="4"/>
    </row>
    <row r="2" spans="1:7" ht="15.75" thickBot="1" x14ac:dyDescent="0.3"/>
    <row r="3" spans="1:7" ht="21" x14ac:dyDescent="0.35">
      <c r="A3" s="10" t="s">
        <v>29</v>
      </c>
      <c r="B3" s="6" t="s">
        <v>1</v>
      </c>
    </row>
    <row r="4" spans="1:7" ht="21.75" thickBot="1" x14ac:dyDescent="0.4">
      <c r="A4" s="9" t="s">
        <v>53</v>
      </c>
      <c r="B4" s="7">
        <v>23</v>
      </c>
    </row>
    <row r="5" spans="1:7" ht="21.75" thickBot="1" x14ac:dyDescent="0.4">
      <c r="A5" s="3" t="s">
        <v>51</v>
      </c>
      <c r="B5" s="7" t="s">
        <v>14</v>
      </c>
      <c r="C5" s="2" t="s">
        <v>52</v>
      </c>
      <c r="D5" s="14" t="s">
        <v>31</v>
      </c>
      <c r="E5" s="13">
        <v>970000</v>
      </c>
    </row>
    <row r="6" spans="1:7" ht="21.75" thickBot="1" x14ac:dyDescent="0.4">
      <c r="A6" s="3" t="s">
        <v>30</v>
      </c>
      <c r="B6" s="8" t="s">
        <v>24</v>
      </c>
    </row>
    <row r="7" spans="1:7" ht="15.75" thickBot="1" x14ac:dyDescent="0.3">
      <c r="A7" s="16"/>
      <c r="B7" s="16"/>
    </row>
    <row r="8" spans="1:7" ht="27" thickTop="1" x14ac:dyDescent="0.4">
      <c r="A8" s="15" t="s">
        <v>34</v>
      </c>
      <c r="B8" s="11" cm="1">
        <f t="array" ref="B8">_xlfn.LET(
    _xlpm.isSingle, B3="Single",
    _xlpm.colIdx, IF(_xlpm.isSingle, 1, 2),
    _xlpm.scoreRank, IF(ISNUMBER(E5), _xlfn.XLOOKUP(E5, {0;500000;600000;700000;800000;900000;920000;940000;950000;960000;970000;975000;980000;985000;990000;995000}, {"F";"D";"C";"B";"A";"A+";"AA";"AA+";"AAA";"AAA+";"S";"S+";"SS";"SS+";"SSS";"SSS+"}, , -1), B5),
    _xlpm.L, _xlfn.XLOOKUP(B4, Table!A3:A23, CHOOSE(_xlpm.colIdx, Table!B3:B23, Table!C3:C23)),
    _xlpm.G, _xlfn.XLOOKUP(_xlpm.scoreRank, Table!E3:E18, CHOOSE(_xlpm.colIdx, Table!F3:F18, Table!G3:G18)),
    _xlpm.P, _xlfn.XLOOKUP(B6, Table!I3:I10, CHOOSE(_xlpm.colIdx, Table!J3:J10, Table!K3:K10)),
    ROUNDDOWN(_xlpm.L+(_xlpm.L*(_xlpm.G+_xlpm.P)/4.5), 2)
)</f>
        <v>356.72</v>
      </c>
    </row>
  </sheetData>
  <dataValidations count="1">
    <dataValidation type="list" allowBlank="1" showInputMessage="1" showErrorMessage="1" sqref="B3" xr:uid="{A59159A3-68DC-4D3E-A22F-9FD9163A5169}">
      <formula1>"Single, Double"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DB09D85-7865-4703-A721-69283E73EF03}">
          <x14:formula1>
            <xm:f>Table!$E$3:$E$18</xm:f>
          </x14:formula1>
          <xm:sqref>B5</xm:sqref>
        </x14:dataValidation>
        <x14:dataValidation type="list" allowBlank="1" showInputMessage="1" showErrorMessage="1" xr:uid="{FE5EFFA4-E8F7-42E2-B281-1F15DF90F776}">
          <x14:formula1>
            <xm:f>Table!$A$3:$A$22</xm:f>
          </x14:formula1>
          <xm:sqref>B4</xm:sqref>
        </x14:dataValidation>
        <x14:dataValidation type="list" allowBlank="1" showInputMessage="1" showErrorMessage="1" xr:uid="{9DD27C6C-C363-45CE-974F-8F227962297C}">
          <x14:formula1>
            <xm:f>Table!$I$3:$I$10</xm:f>
          </x14:formula1>
          <xm:sqref>B6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E3EFF-FAE0-4125-951D-09D5D32DC48C}">
  <dimension ref="A1:K23"/>
  <sheetViews>
    <sheetView workbookViewId="0">
      <selection activeCell="E3" sqref="E3:E18"/>
    </sheetView>
  </sheetViews>
  <sheetFormatPr defaultRowHeight="15" x14ac:dyDescent="0.25"/>
  <sheetData>
    <row r="1" spans="1:11" x14ac:dyDescent="0.25">
      <c r="B1" s="1" t="s">
        <v>32</v>
      </c>
      <c r="C1" s="1"/>
      <c r="F1" s="1" t="s">
        <v>3</v>
      </c>
      <c r="G1" s="1"/>
      <c r="J1" s="1" t="s">
        <v>20</v>
      </c>
      <c r="K1" s="1"/>
    </row>
    <row r="2" spans="1:11" x14ac:dyDescent="0.25">
      <c r="B2" t="s">
        <v>0</v>
      </c>
      <c r="C2" t="s">
        <v>1</v>
      </c>
      <c r="F2" t="s">
        <v>0</v>
      </c>
      <c r="G2" t="s">
        <v>1</v>
      </c>
      <c r="J2" t="s">
        <v>0</v>
      </c>
      <c r="K2" t="s">
        <v>1</v>
      </c>
    </row>
    <row r="3" spans="1:11" x14ac:dyDescent="0.25">
      <c r="A3">
        <v>10</v>
      </c>
      <c r="B3">
        <v>166.5</v>
      </c>
      <c r="C3">
        <v>162</v>
      </c>
      <c r="E3" t="s">
        <v>4</v>
      </c>
      <c r="F3">
        <v>0</v>
      </c>
      <c r="G3">
        <v>0.5</v>
      </c>
      <c r="I3" t="s">
        <v>21</v>
      </c>
      <c r="J3">
        <v>0</v>
      </c>
      <c r="K3">
        <v>0</v>
      </c>
    </row>
    <row r="4" spans="1:11" x14ac:dyDescent="0.25">
      <c r="A4">
        <v>11</v>
      </c>
      <c r="B4">
        <v>171</v>
      </c>
      <c r="C4">
        <v>166.5</v>
      </c>
      <c r="E4" t="s">
        <v>5</v>
      </c>
      <c r="F4">
        <v>0.5</v>
      </c>
      <c r="G4">
        <v>1</v>
      </c>
      <c r="I4" t="s">
        <v>22</v>
      </c>
      <c r="J4">
        <v>0.01</v>
      </c>
      <c r="K4">
        <v>0.01</v>
      </c>
    </row>
    <row r="5" spans="1:11" x14ac:dyDescent="0.25">
      <c r="A5">
        <v>12</v>
      </c>
      <c r="B5">
        <v>175.5</v>
      </c>
      <c r="C5">
        <v>171</v>
      </c>
      <c r="E5" t="s">
        <v>6</v>
      </c>
      <c r="F5">
        <v>1</v>
      </c>
      <c r="G5">
        <v>1.5</v>
      </c>
      <c r="I5" t="s">
        <v>23</v>
      </c>
      <c r="J5">
        <v>0.02</v>
      </c>
      <c r="K5">
        <v>0.02</v>
      </c>
    </row>
    <row r="6" spans="1:11" x14ac:dyDescent="0.25">
      <c r="A6">
        <v>13</v>
      </c>
      <c r="B6">
        <v>180</v>
      </c>
      <c r="C6">
        <v>175.5</v>
      </c>
      <c r="E6" t="s">
        <v>7</v>
      </c>
      <c r="F6">
        <v>1.5</v>
      </c>
      <c r="G6">
        <v>1.75</v>
      </c>
      <c r="I6" t="s">
        <v>24</v>
      </c>
      <c r="J6">
        <v>0.03</v>
      </c>
      <c r="K6">
        <v>0.03</v>
      </c>
    </row>
    <row r="7" spans="1:11" x14ac:dyDescent="0.25">
      <c r="A7">
        <v>14</v>
      </c>
      <c r="B7">
        <v>184.5</v>
      </c>
      <c r="C7">
        <v>180</v>
      </c>
      <c r="E7" t="s">
        <v>8</v>
      </c>
      <c r="F7">
        <v>1.9</v>
      </c>
      <c r="G7">
        <v>2</v>
      </c>
      <c r="I7" t="s">
        <v>25</v>
      </c>
      <c r="J7">
        <v>0.04</v>
      </c>
      <c r="K7">
        <v>0.04</v>
      </c>
    </row>
    <row r="8" spans="1:11" x14ac:dyDescent="0.25">
      <c r="A8">
        <v>15</v>
      </c>
      <c r="B8">
        <v>189</v>
      </c>
      <c r="C8">
        <v>184.5</v>
      </c>
      <c r="E8" t="s">
        <v>9</v>
      </c>
      <c r="F8">
        <v>2.15</v>
      </c>
      <c r="G8">
        <v>2.25</v>
      </c>
      <c r="I8" t="s">
        <v>26</v>
      </c>
      <c r="J8">
        <v>7.0000000000000007E-2</v>
      </c>
      <c r="K8">
        <v>0.06</v>
      </c>
    </row>
    <row r="9" spans="1:11" x14ac:dyDescent="0.25">
      <c r="A9">
        <v>16</v>
      </c>
      <c r="B9">
        <v>193.5</v>
      </c>
      <c r="C9">
        <v>189</v>
      </c>
      <c r="E9" t="s">
        <v>10</v>
      </c>
      <c r="F9">
        <v>2.2999999999999998</v>
      </c>
      <c r="G9">
        <v>2.35</v>
      </c>
      <c r="I9" t="s">
        <v>27</v>
      </c>
      <c r="J9">
        <v>8.5000000000000006E-2</v>
      </c>
      <c r="K9">
        <v>0.08</v>
      </c>
    </row>
    <row r="10" spans="1:11" x14ac:dyDescent="0.25">
      <c r="A10">
        <v>17</v>
      </c>
      <c r="B10">
        <v>198</v>
      </c>
      <c r="C10">
        <v>193.5</v>
      </c>
      <c r="E10" t="s">
        <v>11</v>
      </c>
      <c r="F10">
        <v>2.4500000000000002</v>
      </c>
      <c r="G10">
        <v>2.4500000000000002</v>
      </c>
      <c r="I10" t="s">
        <v>28</v>
      </c>
      <c r="J10">
        <v>0.1</v>
      </c>
      <c r="K10">
        <v>0.1</v>
      </c>
    </row>
    <row r="11" spans="1:11" x14ac:dyDescent="0.25">
      <c r="A11">
        <v>18</v>
      </c>
      <c r="B11">
        <v>202.5</v>
      </c>
      <c r="C11">
        <v>198</v>
      </c>
      <c r="E11" t="s">
        <v>12</v>
      </c>
      <c r="F11">
        <v>2.5499999999999998</v>
      </c>
      <c r="G11">
        <v>2.5499999999999998</v>
      </c>
    </row>
    <row r="12" spans="1:11" x14ac:dyDescent="0.25">
      <c r="A12">
        <v>19</v>
      </c>
      <c r="B12">
        <v>207</v>
      </c>
      <c r="C12">
        <v>202.5</v>
      </c>
      <c r="E12" t="s">
        <v>13</v>
      </c>
      <c r="F12">
        <v>2.65</v>
      </c>
      <c r="G12">
        <v>2.65</v>
      </c>
    </row>
    <row r="13" spans="1:11" x14ac:dyDescent="0.25">
      <c r="A13">
        <v>20</v>
      </c>
      <c r="B13">
        <v>211.5</v>
      </c>
      <c r="C13">
        <v>207</v>
      </c>
      <c r="E13" t="s">
        <v>14</v>
      </c>
      <c r="F13">
        <v>2.75</v>
      </c>
      <c r="G13">
        <v>2.75</v>
      </c>
    </row>
    <row r="14" spans="1:11" x14ac:dyDescent="0.25">
      <c r="A14">
        <v>21</v>
      </c>
      <c r="B14">
        <v>216</v>
      </c>
      <c r="C14">
        <v>211.5</v>
      </c>
      <c r="E14" t="s">
        <v>15</v>
      </c>
      <c r="F14">
        <v>2.8</v>
      </c>
      <c r="G14">
        <v>2.8</v>
      </c>
    </row>
    <row r="15" spans="1:11" x14ac:dyDescent="0.25">
      <c r="A15">
        <v>22</v>
      </c>
      <c r="B15">
        <v>220.5</v>
      </c>
      <c r="C15">
        <v>216</v>
      </c>
      <c r="E15" t="s">
        <v>16</v>
      </c>
      <c r="F15">
        <v>2.85</v>
      </c>
      <c r="G15">
        <v>2.85</v>
      </c>
    </row>
    <row r="16" spans="1:11" x14ac:dyDescent="0.25">
      <c r="A16">
        <v>23</v>
      </c>
      <c r="B16">
        <v>225</v>
      </c>
      <c r="C16">
        <v>220.5</v>
      </c>
      <c r="E16" t="s">
        <v>17</v>
      </c>
      <c r="F16">
        <v>2.9</v>
      </c>
      <c r="G16">
        <v>2.9</v>
      </c>
    </row>
    <row r="17" spans="1:7" x14ac:dyDescent="0.25">
      <c r="A17">
        <v>24</v>
      </c>
      <c r="B17">
        <v>234</v>
      </c>
      <c r="C17">
        <v>225</v>
      </c>
      <c r="E17" t="s">
        <v>18</v>
      </c>
      <c r="F17">
        <v>2.95</v>
      </c>
      <c r="G17">
        <v>2.95</v>
      </c>
    </row>
    <row r="18" spans="1:7" x14ac:dyDescent="0.25">
      <c r="A18">
        <v>25</v>
      </c>
      <c r="B18">
        <v>243</v>
      </c>
      <c r="C18">
        <v>234</v>
      </c>
      <c r="E18" t="s">
        <v>19</v>
      </c>
      <c r="F18">
        <v>3</v>
      </c>
      <c r="G18">
        <v>3</v>
      </c>
    </row>
    <row r="19" spans="1:7" x14ac:dyDescent="0.25">
      <c r="A19">
        <v>26</v>
      </c>
      <c r="B19">
        <v>252</v>
      </c>
      <c r="C19">
        <v>243</v>
      </c>
    </row>
    <row r="20" spans="1:7" x14ac:dyDescent="0.25">
      <c r="A20">
        <v>27</v>
      </c>
      <c r="C20">
        <v>252</v>
      </c>
    </row>
    <row r="21" spans="1:7" x14ac:dyDescent="0.25">
      <c r="A21">
        <v>28</v>
      </c>
      <c r="C21">
        <v>261</v>
      </c>
    </row>
    <row r="22" spans="1:7" x14ac:dyDescent="0.25">
      <c r="A22">
        <v>29</v>
      </c>
      <c r="C22">
        <v>270</v>
      </c>
    </row>
    <row r="23" spans="1:7" x14ac:dyDescent="0.25">
      <c r="A23" t="s">
        <v>2</v>
      </c>
      <c r="C23">
        <v>72</v>
      </c>
    </row>
  </sheetData>
  <mergeCells count="3">
    <mergeCell ref="B1:C1"/>
    <mergeCell ref="F1:G1"/>
    <mergeCell ref="J1:K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20F9B-E7F0-4EFC-84B4-41D303A89649}">
  <dimension ref="A1:B17"/>
  <sheetViews>
    <sheetView workbookViewId="0">
      <selection activeCell="M46" sqref="M46"/>
    </sheetView>
  </sheetViews>
  <sheetFormatPr defaultRowHeight="15" x14ac:dyDescent="0.25"/>
  <cols>
    <col min="2" max="2" width="16" bestFit="1" customWidth="1"/>
  </cols>
  <sheetData>
    <row r="1" spans="1:2" x14ac:dyDescent="0.25">
      <c r="A1" t="s">
        <v>51</v>
      </c>
      <c r="B1" t="s">
        <v>31</v>
      </c>
    </row>
    <row r="2" spans="1:2" x14ac:dyDescent="0.25">
      <c r="A2" t="s">
        <v>4</v>
      </c>
      <c r="B2" s="12" t="s">
        <v>46</v>
      </c>
    </row>
    <row r="3" spans="1:2" x14ac:dyDescent="0.25">
      <c r="A3" t="s">
        <v>5</v>
      </c>
      <c r="B3" t="s">
        <v>47</v>
      </c>
    </row>
    <row r="4" spans="1:2" x14ac:dyDescent="0.25">
      <c r="A4" t="s">
        <v>6</v>
      </c>
      <c r="B4" t="s">
        <v>48</v>
      </c>
    </row>
    <row r="5" spans="1:2" x14ac:dyDescent="0.25">
      <c r="A5" t="s">
        <v>7</v>
      </c>
      <c r="B5" t="s">
        <v>49</v>
      </c>
    </row>
    <row r="6" spans="1:2" x14ac:dyDescent="0.25">
      <c r="A6" t="s">
        <v>8</v>
      </c>
      <c r="B6" t="s">
        <v>50</v>
      </c>
    </row>
    <row r="7" spans="1:2" x14ac:dyDescent="0.25">
      <c r="A7" t="s">
        <v>9</v>
      </c>
      <c r="B7" t="s">
        <v>37</v>
      </c>
    </row>
    <row r="8" spans="1:2" x14ac:dyDescent="0.25">
      <c r="A8" t="s">
        <v>10</v>
      </c>
      <c r="B8" t="s">
        <v>36</v>
      </c>
    </row>
    <row r="9" spans="1:2" x14ac:dyDescent="0.25">
      <c r="A9" t="s">
        <v>11</v>
      </c>
      <c r="B9" t="s">
        <v>35</v>
      </c>
    </row>
    <row r="10" spans="1:2" x14ac:dyDescent="0.25">
      <c r="A10" t="s">
        <v>12</v>
      </c>
      <c r="B10" t="s">
        <v>38</v>
      </c>
    </row>
    <row r="11" spans="1:2" x14ac:dyDescent="0.25">
      <c r="A11" t="s">
        <v>13</v>
      </c>
      <c r="B11" t="s">
        <v>39</v>
      </c>
    </row>
    <row r="12" spans="1:2" x14ac:dyDescent="0.25">
      <c r="A12" t="s">
        <v>14</v>
      </c>
      <c r="B12" t="s">
        <v>40</v>
      </c>
    </row>
    <row r="13" spans="1:2" x14ac:dyDescent="0.25">
      <c r="A13" t="s">
        <v>15</v>
      </c>
      <c r="B13" t="s">
        <v>41</v>
      </c>
    </row>
    <row r="14" spans="1:2" x14ac:dyDescent="0.25">
      <c r="A14" t="s">
        <v>16</v>
      </c>
      <c r="B14" t="s">
        <v>42</v>
      </c>
    </row>
    <row r="15" spans="1:2" x14ac:dyDescent="0.25">
      <c r="A15" t="s">
        <v>17</v>
      </c>
      <c r="B15" t="s">
        <v>43</v>
      </c>
    </row>
    <row r="16" spans="1:2" x14ac:dyDescent="0.25">
      <c r="A16" t="s">
        <v>18</v>
      </c>
      <c r="B16" t="s">
        <v>44</v>
      </c>
    </row>
    <row r="17" spans="1:2" x14ac:dyDescent="0.25">
      <c r="A17" t="s">
        <v>19</v>
      </c>
      <c r="B1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Calculator</vt:lpstr>
      <vt:lpstr>Table</vt:lpstr>
      <vt:lpstr>Score</vt:lpstr>
      <vt:lpstr>Ref_Grade</vt:lpstr>
      <vt:lpstr>Ref_Level</vt:lpstr>
      <vt:lpstr>Ref_Plate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Keel</dc:creator>
  <cp:lastModifiedBy>Walter Keel</cp:lastModifiedBy>
  <cp:lastPrinted>2026-07-24T18:51:04Z</cp:lastPrinted>
  <dcterms:created xsi:type="dcterms:W3CDTF">2026-07-24T17:52:23Z</dcterms:created>
  <dcterms:modified xsi:type="dcterms:W3CDTF">2026-07-24T19:01:02Z</dcterms:modified>
</cp:coreProperties>
</file>